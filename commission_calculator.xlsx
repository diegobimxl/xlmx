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ego\My Drive\BIMXL\25019_PTC\"/>
    </mc:Choice>
  </mc:AlternateContent>
  <xr:revisionPtr revIDLastSave="0" documentId="13_ncr:1_{BEDC503C-7AE7-4A63-9803-453634FA8183}" xr6:coauthVersionLast="47" xr6:coauthVersionMax="47" xr10:uidLastSave="{00000000-0000-0000-0000-000000000000}"/>
  <bookViews>
    <workbookView xWindow="43080" yWindow="-120" windowWidth="51840" windowHeight="21120" tabRatio="500" xr2:uid="{00000000-000D-0000-FFFF-FFFF00000000}"/>
  </bookViews>
  <sheets>
    <sheet name="PTC Commission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F15" i="1"/>
  <c r="I15" i="1" s="1"/>
  <c r="H38" i="1"/>
  <c r="E38" i="1"/>
  <c r="D38" i="1"/>
  <c r="C38" i="1"/>
  <c r="F38" i="1" s="1"/>
  <c r="H37" i="1"/>
  <c r="E37" i="1"/>
  <c r="D37" i="1"/>
  <c r="C37" i="1"/>
  <c r="F37" i="1" s="1"/>
  <c r="H36" i="1"/>
  <c r="E36" i="1"/>
  <c r="D36" i="1"/>
  <c r="C36" i="1"/>
  <c r="F36" i="1" s="1"/>
  <c r="H35" i="1"/>
  <c r="E35" i="1"/>
  <c r="D35" i="1"/>
  <c r="C35" i="1"/>
  <c r="F35" i="1" s="1"/>
  <c r="H34" i="1"/>
  <c r="E34" i="1"/>
  <c r="D34" i="1"/>
  <c r="C34" i="1"/>
  <c r="F34" i="1" s="1"/>
  <c r="H33" i="1"/>
  <c r="E33" i="1"/>
  <c r="D33" i="1"/>
  <c r="C33" i="1"/>
  <c r="F33" i="1" s="1"/>
  <c r="H32" i="1"/>
  <c r="E32" i="1"/>
  <c r="D32" i="1"/>
  <c r="C32" i="1"/>
  <c r="H31" i="1"/>
  <c r="E31" i="1"/>
  <c r="D31" i="1"/>
  <c r="C31" i="1"/>
  <c r="F31" i="1" s="1"/>
  <c r="H30" i="1"/>
  <c r="E30" i="1"/>
  <c r="D30" i="1"/>
  <c r="C30" i="1"/>
  <c r="F30" i="1" s="1"/>
  <c r="H29" i="1"/>
  <c r="E29" i="1"/>
  <c r="D29" i="1"/>
  <c r="C29" i="1"/>
  <c r="F29" i="1" s="1"/>
  <c r="C24" i="1"/>
  <c r="F20" i="1"/>
  <c r="F19" i="1"/>
  <c r="F21" i="1" s="1"/>
  <c r="F18" i="1"/>
  <c r="C17" i="1"/>
  <c r="C18" i="1" s="1"/>
  <c r="G15" i="1"/>
  <c r="G14" i="1"/>
  <c r="G13" i="1"/>
  <c r="F13" i="1"/>
  <c r="E7" i="1"/>
  <c r="I14" i="1" l="1"/>
  <c r="F32" i="1"/>
  <c r="G38" i="1"/>
  <c r="I38" i="1"/>
  <c r="G37" i="1"/>
  <c r="I37" i="1"/>
  <c r="G36" i="1"/>
  <c r="I36" i="1"/>
  <c r="G35" i="1"/>
  <c r="I35" i="1"/>
  <c r="G34" i="1"/>
  <c r="I34" i="1"/>
  <c r="G33" i="1"/>
  <c r="I33" i="1"/>
  <c r="I31" i="1"/>
  <c r="G31" i="1"/>
  <c r="G30" i="1"/>
  <c r="I30" i="1"/>
  <c r="G29" i="1"/>
  <c r="I29" i="1"/>
  <c r="F16" i="1"/>
  <c r="I13" i="1"/>
  <c r="H19" i="1"/>
  <c r="H18" i="1"/>
  <c r="H20" i="1"/>
  <c r="G10" i="1"/>
  <c r="F24" i="1"/>
  <c r="I24" i="1" s="1"/>
  <c r="I16" i="1" l="1"/>
  <c r="G16" i="1" s="1"/>
  <c r="I32" i="1"/>
  <c r="G32" i="1"/>
  <c r="H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BIMXL</author>
  </authors>
  <commentList>
    <comment ref="C7" authorId="0" shapeId="0" xr:uid="{00000000-0006-0000-0000-000001000000}">
      <text>
        <r>
          <rPr>
            <sz val="10"/>
            <rFont val="Arial"/>
            <family val="2"/>
          </rPr>
          <t>Single deal size to evaluate. Try 25k–500k+ to see tier behavior.</t>
        </r>
      </text>
    </comment>
    <comment ref="C8" authorId="0" shapeId="0" xr:uid="{00000000-0006-0000-0000-000002000000}">
      <text>
        <r>
          <rPr>
            <sz val="10"/>
            <rFont val="Arial"/>
            <family val="2"/>
          </rPr>
          <t>Upper bound of Tier 1. Below this, Tier 1 rate applies.</t>
        </r>
      </text>
    </comment>
    <comment ref="C9" authorId="0" shapeId="0" xr:uid="{00000000-0006-0000-0000-000003000000}">
      <text>
        <r>
          <rPr>
            <sz val="10"/>
            <rFont val="Arial"/>
            <family val="2"/>
          </rPr>
          <t>Upper bound of Tier 2. Above this, Tier 3 rate applies.</t>
        </r>
      </text>
    </comment>
    <comment ref="C10" authorId="0" shapeId="0" xr:uid="{00000000-0006-0000-0000-000004000000}">
      <text>
        <r>
          <rPr>
            <sz val="10"/>
            <rFont val="Arial"/>
            <family val="2"/>
          </rPr>
          <t>Commission rate on revenue inside Tier 1.</t>
        </r>
      </text>
    </comment>
    <comment ref="C11" authorId="0" shapeId="0" xr:uid="{00000000-0006-0000-0000-000005000000}">
      <text>
        <r>
          <rPr>
            <sz val="10"/>
            <rFont val="Arial"/>
            <family val="2"/>
          </rPr>
          <t>Commission rate on revenue between Tier 1 and Tier 2 caps.</t>
        </r>
      </text>
    </comment>
    <comment ref="C12" authorId="0" shapeId="0" xr:uid="{00000000-0006-0000-0000-000006000000}">
      <text>
        <r>
          <rPr>
            <sz val="10"/>
            <rFont val="Arial"/>
            <family val="2"/>
          </rPr>
          <t>Commission rate on revenue above Tier 2 cap.</t>
        </r>
      </text>
    </comment>
    <comment ref="C13" authorId="0" shapeId="0" xr:uid="{00000000-0006-0000-0000-000007000000}">
      <text>
        <r>
          <rPr>
            <sz val="10"/>
            <rFont val="Arial"/>
            <family val="2"/>
          </rPr>
          <t>Milestone split paid at contract signing.</t>
        </r>
      </text>
    </comment>
    <comment ref="C14" authorId="0" shapeId="0" xr:uid="{00000000-0006-0000-0000-000008000000}">
      <text>
        <r>
          <rPr>
            <sz val="10"/>
            <rFont val="Arial"/>
            <family val="2"/>
          </rPr>
          <t>Milestone split paid at project kickoff.</t>
        </r>
      </text>
    </comment>
    <comment ref="C15" authorId="0" shapeId="0" xr:uid="{00000000-0006-0000-0000-000009000000}">
      <text>
        <r>
          <rPr>
            <sz val="10"/>
            <rFont val="Arial"/>
            <family val="2"/>
          </rPr>
          <t>Milestone split paid at completion / final invoice.</t>
        </r>
      </text>
    </comment>
    <comment ref="C16" authorId="0" shapeId="0" xr:uid="{00000000-0006-0000-0000-00000A000000}">
      <text>
        <r>
          <rPr>
            <sz val="10"/>
            <rFont val="Arial"/>
            <family val="2"/>
          </rPr>
          <t>Optional fixed retainer for the regional partner. Set to 0 if pure success fee.</t>
        </r>
      </text>
    </comment>
  </commentList>
</comments>
</file>

<file path=xl/sharedStrings.xml><?xml version="1.0" encoding="utf-8"?>
<sst xmlns="http://schemas.openxmlformats.org/spreadsheetml/2006/main" count="53" uniqueCount="53">
  <si>
    <t>Mexico &amp; LatAm regional partnership · Tiered fee model with milestone-based payouts · Transparent, auditable, single source of truth</t>
  </si>
  <si>
    <t>Parameter</t>
  </si>
  <si>
    <t>Value</t>
  </si>
  <si>
    <t>TOTAL COMMISSION</t>
  </si>
  <si>
    <t>Deal Value (USD)</t>
  </si>
  <si>
    <t>Tier 1 Cap (USD)</t>
  </si>
  <si>
    <t>Tier 2 Cap (USD)</t>
  </si>
  <si>
    <t>Tier 1 Rate</t>
  </si>
  <si>
    <t>Effective rate</t>
  </si>
  <si>
    <t>Tier 2 Rate</t>
  </si>
  <si>
    <t xml:space="preserve">  TIER BREAKDOWN</t>
  </si>
  <si>
    <t>Tier 3 Rate</t>
  </si>
  <si>
    <t>Layer</t>
  </si>
  <si>
    <t>Revenue</t>
  </si>
  <si>
    <t>Rate</t>
  </si>
  <si>
    <t>Commission</t>
  </si>
  <si>
    <t>Signing %</t>
  </si>
  <si>
    <t>Tier 1</t>
  </si>
  <si>
    <t>Project Start %</t>
  </si>
  <si>
    <t>Tier 2</t>
  </si>
  <si>
    <t>Completion %</t>
  </si>
  <si>
    <t>Tier 3</t>
  </si>
  <si>
    <t>Monthly Retainer (USD)</t>
  </si>
  <si>
    <t>Total</t>
  </si>
  <si>
    <t>Milestone total</t>
  </si>
  <si>
    <t xml:space="preserve">  MILESTONE PAYOUT SCHEDULE</t>
  </si>
  <si>
    <t>Validation</t>
  </si>
  <si>
    <t>Signing</t>
  </si>
  <si>
    <t>Project start</t>
  </si>
  <si>
    <t>Completion</t>
  </si>
  <si>
    <t>Check</t>
  </si>
  <si>
    <t xml:space="preserve">  ANNUAL CASH COMP VIEW  ·  retainer + commission @ active deal</t>
  </si>
  <si>
    <t>Annual retainer</t>
  </si>
  <si>
    <t>Commission (1 deal)</t>
  </si>
  <si>
    <t>Total cash comp</t>
  </si>
  <si>
    <t xml:space="preserve">  SCENARIO SWEEP  ·  commission curve across deal sizes</t>
  </si>
  <si>
    <t>Deal Value</t>
  </si>
  <si>
    <t>Tier 1 $</t>
  </si>
  <si>
    <t>Tier 2 $</t>
  </si>
  <si>
    <t>Tier 3 $</t>
  </si>
  <si>
    <t>Total Commission</t>
  </si>
  <si>
    <t>Effective %</t>
  </si>
  <si>
    <t>+ Annual Retainer</t>
  </si>
  <si>
    <t>Total Cash Comp</t>
  </si>
  <si>
    <t xml:space="preserve">  HOW TO USE  ·  one tab, no surprises</t>
  </si>
  <si>
    <t>1.  Edit the yellow input cells. Everything recalculates instantly — tiers, milestones, scenarios, and charts.</t>
  </si>
  <si>
    <t>2.  Tier 1 / 2 / 3 rates apply progressively: first dollars at Tier 1 rate, next layer at Tier 2, anything above Tier 2 cap at Tier 3.</t>
  </si>
  <si>
    <t>3.  Milestone splits must total 100% — the validation cell in C18 flags errors automatically.</t>
  </si>
  <si>
    <t>4.  Scenario sweep table runs the same model across 10 deal sizes so PTC, BIMXL, and SER can stress-test economics together.</t>
  </si>
  <si>
    <t>5.  Annual cash comp = monthly retainer × 12 + commission on active deal. Set retainer to 0 for pure success-fee structure.</t>
  </si>
  <si>
    <t>6.  Color code: blue = input, black = formula, light blue = key result, yellow background = editable, dark = headers.</t>
  </si>
  <si>
    <t>BIMXL × SER GROUP COMMISSION MODEL → THE PROPTECH CONNECTION</t>
  </si>
  <si>
    <t>Prepared by BIMXL + SER Group  ·  For The Proptech Connection · Mexico &amp; LatAm regional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</si>
</sst>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&quot;($&quot;#,##0\);\-"/>
    <numFmt numFmtId="165" formatCode="\$#,##0"/>
    <numFmt numFmtId="166" formatCode="0.0%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Arial Nova Cond"/>
      <family val="2"/>
    </font>
    <font>
      <b/>
      <sz val="11"/>
      <color rgb="FFFFFFFF"/>
      <name val="Arial Nova Cond"/>
      <family val="2"/>
    </font>
    <font>
      <b/>
      <sz val="10"/>
      <color rgb="FF0B2545"/>
      <name val="Arial Nova Cond"/>
      <family val="2"/>
    </font>
    <font>
      <sz val="10"/>
      <color rgb="FF0B2545"/>
      <name val="Arial Nova Cond"/>
      <family val="2"/>
    </font>
    <font>
      <sz val="11"/>
      <color rgb="FF0B2545"/>
      <name val="Arial Nova Cond"/>
      <family val="2"/>
    </font>
    <font>
      <b/>
      <sz val="11"/>
      <color rgb="FF0B2545"/>
      <name val="Arial Nova Cond"/>
      <family val="2"/>
    </font>
    <font>
      <b/>
      <sz val="10"/>
      <color rgb="FF1F8A4C"/>
      <name val="Arial Nova Cond"/>
      <family val="2"/>
    </font>
    <font>
      <b/>
      <sz val="11"/>
      <color rgb="FF1B7BD8"/>
      <name val="Arial Nova Cond"/>
      <family val="2"/>
    </font>
    <font>
      <i/>
      <sz val="9"/>
      <color rgb="FFFFFFFF"/>
      <name val="Arial Nova Cond"/>
      <family val="2"/>
    </font>
    <font>
      <b/>
      <sz val="11"/>
      <name val="Arial Nova Cond"/>
      <family val="2"/>
    </font>
    <font>
      <b/>
      <sz val="18"/>
      <name val="Arial Nova Cond"/>
      <family val="2"/>
    </font>
    <font>
      <i/>
      <sz val="10"/>
      <name val="Arial Nova Cond"/>
      <family val="2"/>
    </font>
    <font>
      <b/>
      <sz val="10"/>
      <name val="Arial Nova Cond"/>
      <family val="2"/>
    </font>
    <font>
      <b/>
      <sz val="28"/>
      <name val="Arial Nova Cond"/>
      <family val="2"/>
    </font>
    <font>
      <b/>
      <sz val="12"/>
      <name val="Arial Nova Cond"/>
      <family val="2"/>
    </font>
  </fonts>
  <fills count="11">
    <fill>
      <patternFill patternType="none"/>
    </fill>
    <fill>
      <patternFill patternType="gray125"/>
    </fill>
    <fill>
      <patternFill patternType="solid">
        <fgColor rgb="FF0B2545"/>
        <bgColor rgb="FF13315C"/>
      </patternFill>
    </fill>
    <fill>
      <patternFill patternType="solid">
        <fgColor rgb="FFF4F5F7"/>
        <bgColor rgb="FFFFFFFF"/>
      </patternFill>
    </fill>
    <fill>
      <patternFill patternType="solid">
        <fgColor rgb="FFFFF7C2"/>
        <bgColor rgb="FFFFFF99"/>
      </patternFill>
    </fill>
    <fill>
      <patternFill patternType="solid">
        <fgColor rgb="FFD6E6F7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3315C"/>
      </patternFill>
    </fill>
    <fill>
      <patternFill patternType="solid">
        <fgColor theme="0"/>
        <bgColor rgb="FF0B2545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rgb="FFB7BFC9"/>
      </left>
      <right style="thin">
        <color rgb="FFB7BFC9"/>
      </right>
      <top style="thin">
        <color rgb="FFB7BFC9"/>
      </top>
      <bottom style="thin">
        <color rgb="FFB7BFC9"/>
      </bottom>
      <diagonal/>
    </border>
    <border>
      <left style="thin">
        <color rgb="FFB7BFC9"/>
      </left>
      <right/>
      <top style="thin">
        <color rgb="FFB7BFC9"/>
      </top>
      <bottom style="thin">
        <color rgb="FFB7BFC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164" fontId="6" fillId="0" borderId="1" xfId="0" applyNumberFormat="1" applyFont="1" applyBorder="1" applyAlignment="1">
      <alignment horizontal="right" vertical="center" indent="1"/>
    </xf>
    <xf numFmtId="166" fontId="6" fillId="0" borderId="2" xfId="0" applyNumberFormat="1" applyFont="1" applyBorder="1" applyAlignment="1">
      <alignment horizontal="right" vertical="center" indent="1"/>
    </xf>
    <xf numFmtId="164" fontId="7" fillId="0" borderId="1" xfId="0" applyNumberFormat="1" applyFont="1" applyBorder="1" applyAlignment="1">
      <alignment horizontal="right" vertical="center" indent="1"/>
    </xf>
    <xf numFmtId="0" fontId="4" fillId="0" borderId="0" xfId="0" applyFont="1" applyAlignment="1">
      <alignment horizontal="left" vertical="center" indent="1"/>
    </xf>
    <xf numFmtId="164" fontId="7" fillId="5" borderId="1" xfId="0" applyNumberFormat="1" applyFont="1" applyFill="1" applyBorder="1" applyAlignment="1">
      <alignment horizontal="right" vertical="center" indent="1"/>
    </xf>
    <xf numFmtId="166" fontId="7" fillId="0" borderId="1" xfId="0" applyNumberFormat="1" applyFont="1" applyBorder="1" applyAlignment="1">
      <alignment horizontal="right" vertical="center" indent="1"/>
    </xf>
    <xf numFmtId="0" fontId="8" fillId="3" borderId="1" xfId="0" applyFont="1" applyFill="1" applyBorder="1" applyAlignment="1">
      <alignment horizontal="right" vertical="center" indent="1"/>
    </xf>
    <xf numFmtId="164" fontId="7" fillId="0" borderId="2" xfId="0" applyNumberFormat="1" applyFont="1" applyBorder="1" applyAlignment="1">
      <alignment horizontal="right" vertical="center" indent="1"/>
    </xf>
    <xf numFmtId="166" fontId="7" fillId="3" borderId="2" xfId="0" applyNumberFormat="1" applyFont="1" applyFill="1" applyBorder="1" applyAlignment="1">
      <alignment horizontal="right" vertical="center" indent="1"/>
    </xf>
    <xf numFmtId="164" fontId="7" fillId="3" borderId="2" xfId="0" applyNumberFormat="1" applyFont="1" applyFill="1" applyBorder="1" applyAlignment="1">
      <alignment horizontal="right" vertical="center" indent="1"/>
    </xf>
    <xf numFmtId="165" fontId="7" fillId="0" borderId="1" xfId="0" applyNumberFormat="1" applyFont="1" applyBorder="1" applyAlignment="1">
      <alignment horizontal="right" vertical="center" indent="1"/>
    </xf>
    <xf numFmtId="165" fontId="7" fillId="0" borderId="2" xfId="0" applyNumberFormat="1" applyFont="1" applyBorder="1" applyAlignment="1">
      <alignment horizontal="right" vertical="center" indent="1"/>
    </xf>
    <xf numFmtId="165" fontId="6" fillId="0" borderId="1" xfId="0" applyNumberFormat="1" applyFont="1" applyBorder="1" applyAlignment="1">
      <alignment horizontal="right" vertical="center" indent="1"/>
    </xf>
    <xf numFmtId="0" fontId="5" fillId="0" borderId="0" xfId="0" applyFont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64" fontId="11" fillId="4" borderId="1" xfId="0" applyNumberFormat="1" applyFont="1" applyFill="1" applyBorder="1" applyAlignment="1">
      <alignment horizontal="right" vertical="center" indent="1"/>
    </xf>
    <xf numFmtId="165" fontId="11" fillId="4" borderId="1" xfId="0" applyNumberFormat="1" applyFont="1" applyFill="1" applyBorder="1" applyAlignment="1">
      <alignment horizontal="right" vertical="center" indent="1"/>
    </xf>
    <xf numFmtId="166" fontId="11" fillId="4" borderId="1" xfId="0" applyNumberFormat="1" applyFont="1" applyFill="1" applyBorder="1" applyAlignment="1">
      <alignment horizontal="right" vertical="center" indent="1"/>
    </xf>
    <xf numFmtId="164" fontId="7" fillId="6" borderId="1" xfId="0" applyNumberFormat="1" applyFont="1" applyFill="1" applyBorder="1" applyAlignment="1">
      <alignment horizontal="right" vertical="center" indent="1"/>
    </xf>
    <xf numFmtId="10" fontId="9" fillId="7" borderId="1" xfId="0" applyNumberFormat="1" applyFont="1" applyFill="1" applyBorder="1" applyAlignment="1">
      <alignment horizontal="right" vertical="center" indent="1"/>
    </xf>
    <xf numFmtId="0" fontId="12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11" fillId="8" borderId="0" xfId="0" applyFont="1" applyFill="1" applyAlignment="1">
      <alignment horizontal="left" vertical="center" indent="1"/>
    </xf>
    <xf numFmtId="0" fontId="14" fillId="10" borderId="1" xfId="0" applyFont="1" applyFill="1" applyBorder="1" applyAlignment="1">
      <alignment horizontal="left" vertical="center" indent="1"/>
    </xf>
    <xf numFmtId="0" fontId="14" fillId="9" borderId="0" xfId="0" applyFont="1" applyFill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0" fontId="14" fillId="10" borderId="2" xfId="0" applyFont="1" applyFill="1" applyBorder="1" applyAlignment="1">
      <alignment horizontal="left" vertical="center" indent="1"/>
    </xf>
    <xf numFmtId="10" fontId="16" fillId="7" borderId="2" xfId="0" applyNumberFormat="1" applyFont="1" applyFill="1" applyBorder="1" applyAlignment="1">
      <alignment horizontal="right" vertical="center" indent="2"/>
    </xf>
    <xf numFmtId="0" fontId="11" fillId="9" borderId="0" xfId="0" applyFont="1" applyFill="1" applyAlignment="1">
      <alignment horizontal="left" vertical="center" indent="1"/>
    </xf>
    <xf numFmtId="164" fontId="11" fillId="6" borderId="1" xfId="0" applyNumberFormat="1" applyFont="1" applyFill="1" applyBorder="1" applyAlignment="1">
      <alignment horizontal="right" vertical="center" indent="1"/>
    </xf>
    <xf numFmtId="166" fontId="11" fillId="6" borderId="2" xfId="0" applyNumberFormat="1" applyFont="1" applyFill="1" applyBorder="1" applyAlignment="1">
      <alignment horizontal="right" vertical="center" indent="1"/>
    </xf>
    <xf numFmtId="0" fontId="1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FC9"/>
      <rgbColor rgb="FF878787"/>
      <rgbColor rgb="FF9999FF"/>
      <rgbColor rgb="FFBE4B48"/>
      <rgbColor rgb="FFFFF7C2"/>
      <rgbColor rgb="FFD6E6F7"/>
      <rgbColor rgb="FF660066"/>
      <rgbColor rgb="FFFF8080"/>
      <rgbColor rgb="FF1B7B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3315C"/>
      <rgbColor rgb="FF1F8A4C"/>
      <rgbColor rgb="FF003300"/>
      <rgbColor rgb="FF333300"/>
      <rgbColor rgb="FF993300"/>
      <rgbColor rgb="FFC0504D"/>
      <rgbColor rgb="FF333399"/>
      <rgbColor rgb="FF0B25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Commission by Tier (active deal)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'PTC Commission Model'!$I$12</c:f>
              <c:strCache>
                <c:ptCount val="1"/>
                <c:pt idx="0">
                  <c:v>Commission</c:v>
                </c:pt>
              </c:strCache>
            </c:strRef>
          </c:tx>
          <c:spPr>
            <a:solidFill>
              <a:schemeClr val="tx1"/>
            </a:solidFill>
            <a:ln w="12600"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'PTC Commission Model'!$E$13:$E$15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'PTC Commission Model'!$I$13:$I$15</c:f>
              <c:numCache>
                <c:formatCode>\$#,##0;[Red]"($"#,##0\);\-</c:formatCode>
                <c:ptCount val="3"/>
                <c:pt idx="0">
                  <c:v>2500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E-43C6-8731-969C29B55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20939"/>
        <c:axId val="91192667"/>
      </c:barChart>
      <c:catAx>
        <c:axId val="673209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1192667"/>
        <c:crosses val="autoZero"/>
        <c:auto val="1"/>
        <c:lblAlgn val="ctr"/>
        <c:lblOffset val="100"/>
        <c:noMultiLvlLbl val="0"/>
      </c:catAx>
      <c:valAx>
        <c:axId val="911926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73209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Milestone Payout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3">
                <a:lumMod val="40000"/>
                <a:lumOff val="60000"/>
              </a:schemeClr>
            </a:solidFill>
            <a:ln w="12600">
              <a:noFill/>
            </a:ln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67E2-4297-B1D4-54004B00527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67E2-4297-B1D4-54004B005270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67E2-4297-B1D4-54004B005270}"/>
              </c:ext>
            </c:extLst>
          </c:dPt>
          <c:cat>
            <c:strRef>
              <c:f>'PTC Commission Model'!$E$18:$E$20</c:f>
              <c:strCache>
                <c:ptCount val="3"/>
                <c:pt idx="0">
                  <c:v>Signing</c:v>
                </c:pt>
                <c:pt idx="1">
                  <c:v>Project start</c:v>
                </c:pt>
                <c:pt idx="2">
                  <c:v>Completion</c:v>
                </c:pt>
              </c:strCache>
            </c:strRef>
          </c:cat>
          <c:val>
            <c:numRef>
              <c:f>'PTC Commission Model'!$H$18:$H$20</c:f>
              <c:numCache>
                <c:formatCode>\$#,##0;[Red]"($"#,##0\);\-</c:formatCode>
                <c:ptCount val="3"/>
                <c:pt idx="0">
                  <c:v>750</c:v>
                </c:pt>
                <c:pt idx="1">
                  <c:v>500</c:v>
                </c:pt>
                <c:pt idx="2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E2-4297-B1D4-54004B005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Commission Curve Across Deal Sizes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'PTC Commission Model'!$F$28</c:f>
              <c:strCache>
                <c:ptCount val="1"/>
                <c:pt idx="0">
                  <c:v>Total Commission</c:v>
                </c:pt>
              </c:strCache>
            </c:strRef>
          </c:tx>
          <c:spPr>
            <a:solidFill>
              <a:schemeClr val="tx1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'PTC Commission Model'!$B$29:$B$38</c:f>
              <c:numCache>
                <c:formatCode>\$#,##0</c:formatCode>
                <c:ptCount val="1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150000</c:v>
                </c:pt>
                <c:pt idx="5">
                  <c:v>200000</c:v>
                </c:pt>
                <c:pt idx="6">
                  <c:v>250000</c:v>
                </c:pt>
                <c:pt idx="7">
                  <c:v>350000</c:v>
                </c:pt>
                <c:pt idx="8">
                  <c:v>500000</c:v>
                </c:pt>
                <c:pt idx="9">
                  <c:v>750000</c:v>
                </c:pt>
              </c:numCache>
            </c:numRef>
          </c:cat>
          <c:val>
            <c:numRef>
              <c:f>'PTC Commission Model'!$F$29:$F$38</c:f>
              <c:numCache>
                <c:formatCode>\$#,##0;[Red]"($"#,##0\);\-</c:formatCode>
                <c:ptCount val="10"/>
                <c:pt idx="0">
                  <c:v>1250</c:v>
                </c:pt>
                <c:pt idx="1">
                  <c:v>2500</c:v>
                </c:pt>
                <c:pt idx="2">
                  <c:v>3750</c:v>
                </c:pt>
                <c:pt idx="3">
                  <c:v>5000</c:v>
                </c:pt>
                <c:pt idx="4">
                  <c:v>8750</c:v>
                </c:pt>
                <c:pt idx="5">
                  <c:v>12500</c:v>
                </c:pt>
                <c:pt idx="6">
                  <c:v>16250</c:v>
                </c:pt>
                <c:pt idx="7">
                  <c:v>26250</c:v>
                </c:pt>
                <c:pt idx="8">
                  <c:v>41250</c:v>
                </c:pt>
                <c:pt idx="9">
                  <c:v>66250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A-458E-82BF-A5CBA3364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61784"/>
        <c:axId val="24762319"/>
      </c:barChart>
      <c:lineChart>
        <c:grouping val="standard"/>
        <c:varyColors val="0"/>
        <c:ser>
          <c:idx val="1"/>
          <c:order val="1"/>
          <c:tx>
            <c:strRef>
              <c:f>'PTC Commission Model'!$G$28</c:f>
              <c:strCache>
                <c:ptCount val="1"/>
                <c:pt idx="0">
                  <c:v>Effective %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'PTC Commission Model'!$B$29:$B$38</c:f>
              <c:numCache>
                <c:formatCode>\$#,##0</c:formatCode>
                <c:ptCount val="1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150000</c:v>
                </c:pt>
                <c:pt idx="5">
                  <c:v>200000</c:v>
                </c:pt>
                <c:pt idx="6">
                  <c:v>250000</c:v>
                </c:pt>
                <c:pt idx="7">
                  <c:v>350000</c:v>
                </c:pt>
                <c:pt idx="8">
                  <c:v>500000</c:v>
                </c:pt>
                <c:pt idx="9">
                  <c:v>750000</c:v>
                </c:pt>
              </c:numCache>
            </c:numRef>
          </c:cat>
          <c:val>
            <c:numRef>
              <c:f>'PTC Commission Model'!$G$29:$G$38</c:f>
              <c:numCache>
                <c:formatCode>0.00%</c:formatCode>
                <c:ptCount val="1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5.8333333333333334E-2</c:v>
                </c:pt>
                <c:pt idx="5">
                  <c:v>6.25E-2</c:v>
                </c:pt>
                <c:pt idx="6">
                  <c:v>6.5000000000000002E-2</c:v>
                </c:pt>
                <c:pt idx="7">
                  <c:v>7.4999999999999997E-2</c:v>
                </c:pt>
                <c:pt idx="8">
                  <c:v>8.2500000000000004E-2</c:v>
                </c:pt>
                <c:pt idx="9">
                  <c:v>8.8333333333333333E-2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FA-458E-82BF-A5CBA3364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918219"/>
        <c:axId val="50584649"/>
      </c:lineChart>
      <c:catAx>
        <c:axId val="45261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Deal Value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762319"/>
        <c:crosses val="autoZero"/>
        <c:auto val="1"/>
        <c:lblAlgn val="ctr"/>
        <c:lblOffset val="100"/>
        <c:noMultiLvlLbl val="0"/>
      </c:catAx>
      <c:valAx>
        <c:axId val="24762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Commission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5261784"/>
        <c:crosses val="autoZero"/>
        <c:crossBetween val="between"/>
      </c:valAx>
      <c:catAx>
        <c:axId val="15918219"/>
        <c:scaling>
          <c:orientation val="minMax"/>
        </c:scaling>
        <c:delete val="1"/>
        <c:axPos val="b"/>
        <c:numFmt formatCode="\$#,##0" sourceLinked="1"/>
        <c:majorTickMark val="none"/>
        <c:minorTickMark val="none"/>
        <c:tickLblPos val="nextTo"/>
        <c:crossAx val="50584649"/>
        <c:crosses val="autoZero"/>
        <c:auto val="1"/>
        <c:lblAlgn val="ctr"/>
        <c:lblOffset val="100"/>
        <c:noMultiLvlLbl val="0"/>
      </c:catAx>
      <c:valAx>
        <c:axId val="5058464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Effective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918219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13</xdr:col>
      <xdr:colOff>1045028</xdr:colOff>
      <xdr:row>14</xdr:row>
      <xdr:rowOff>123935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7299</xdr:colOff>
      <xdr:row>15</xdr:row>
      <xdr:rowOff>30554</xdr:rowOff>
    </xdr:from>
    <xdr:to>
      <xdr:col>13</xdr:col>
      <xdr:colOff>1021787</xdr:colOff>
      <xdr:row>28</xdr:row>
      <xdr:rowOff>18307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7297</xdr:colOff>
      <xdr:row>28</xdr:row>
      <xdr:rowOff>77932</xdr:rowOff>
    </xdr:from>
    <xdr:to>
      <xdr:col>13</xdr:col>
      <xdr:colOff>1021787</xdr:colOff>
      <xdr:row>47</xdr:row>
      <xdr:rowOff>54676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9"/>
  <sheetViews>
    <sheetView showGridLines="0" tabSelected="1" zoomScale="110" zoomScaleNormal="110" workbookViewId="0">
      <pane ySplit="4" topLeftCell="A5" activePane="bottomLeft" state="frozen"/>
      <selection pane="bottomLeft" activeCell="B7" sqref="B7"/>
    </sheetView>
  </sheetViews>
  <sheetFormatPr defaultColWidth="8.69140625" defaultRowHeight="14.6" x14ac:dyDescent="0.4"/>
  <cols>
    <col min="1" max="1" width="2" style="1" customWidth="1"/>
    <col min="2" max="2" width="24" style="1" customWidth="1"/>
    <col min="3" max="3" width="16" style="1" customWidth="1"/>
    <col min="4" max="4" width="9.61328125" style="1" bestFit="1" customWidth="1"/>
    <col min="5" max="5" width="22" style="1" customWidth="1"/>
    <col min="6" max="6" width="15" style="1" customWidth="1"/>
    <col min="7" max="7" width="10.921875" style="1" customWidth="1"/>
    <col min="8" max="8" width="18" style="1" customWidth="1"/>
    <col min="9" max="9" width="15" style="1" customWidth="1"/>
    <col min="10" max="10" width="3" style="1" customWidth="1"/>
    <col min="11" max="14" width="15" style="1" customWidth="1"/>
    <col min="15" max="15" width="2" style="1" customWidth="1"/>
    <col min="16" max="16384" width="8.69140625" style="1"/>
  </cols>
  <sheetData>
    <row r="1" spans="2:14" ht="7.5" customHeight="1" x14ac:dyDescent="0.4"/>
    <row r="2" spans="2:14" ht="36" customHeight="1" x14ac:dyDescent="0.35">
      <c r="B2" s="26" t="s">
        <v>51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2:14" ht="21.75" customHeight="1" x14ac:dyDescent="0.35">
      <c r="B3" s="27" t="s">
        <v>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2:14" ht="6" customHeight="1" x14ac:dyDescent="0.4"/>
    <row r="5" spans="2:14" ht="21.75" customHeight="1" x14ac:dyDescent="0.35">
      <c r="B5" s="29"/>
      <c r="C5" s="29"/>
      <c r="E5" s="28"/>
      <c r="F5" s="28"/>
      <c r="G5" s="28"/>
      <c r="H5" s="28"/>
      <c r="I5" s="28"/>
    </row>
    <row r="6" spans="2:14" ht="18" customHeight="1" x14ac:dyDescent="0.35">
      <c r="B6" s="30" t="s">
        <v>1</v>
      </c>
      <c r="C6" s="30" t="s">
        <v>2</v>
      </c>
      <c r="E6" s="31" t="s">
        <v>3</v>
      </c>
      <c r="F6" s="31"/>
      <c r="G6" s="31"/>
      <c r="H6" s="31"/>
      <c r="I6" s="31"/>
    </row>
    <row r="7" spans="2:14" ht="27.75" customHeight="1" x14ac:dyDescent="0.35">
      <c r="B7" s="3" t="s">
        <v>4</v>
      </c>
      <c r="C7" s="21">
        <v>50000</v>
      </c>
      <c r="E7" s="32">
        <f>IF(C7&lt;=C8, C7*C10, IF(C7&lt;=C9, C8*C10 + (C7-C8)*C11, C8*C10 + (C9-C8)*C11 + (C7-C9)*C12))</f>
        <v>2500</v>
      </c>
      <c r="F7" s="32"/>
      <c r="G7" s="32"/>
      <c r="H7" s="32"/>
      <c r="I7" s="32"/>
    </row>
    <row r="8" spans="2:14" ht="27.75" customHeight="1" x14ac:dyDescent="0.35">
      <c r="B8" s="3" t="s">
        <v>5</v>
      </c>
      <c r="C8" s="22">
        <v>100000</v>
      </c>
      <c r="E8" s="32"/>
      <c r="F8" s="32"/>
      <c r="G8" s="32"/>
      <c r="H8" s="32"/>
      <c r="I8" s="32"/>
    </row>
    <row r="9" spans="2:14" ht="27.75" customHeight="1" x14ac:dyDescent="0.35">
      <c r="B9" s="3" t="s">
        <v>6</v>
      </c>
      <c r="C9" s="22">
        <v>250000</v>
      </c>
      <c r="E9" s="32"/>
      <c r="F9" s="32"/>
      <c r="G9" s="32"/>
      <c r="H9" s="32"/>
      <c r="I9" s="32"/>
    </row>
    <row r="10" spans="2:14" ht="15" x14ac:dyDescent="0.35">
      <c r="B10" s="3" t="s">
        <v>7</v>
      </c>
      <c r="C10" s="23">
        <v>0.05</v>
      </c>
      <c r="E10" s="33" t="s">
        <v>8</v>
      </c>
      <c r="F10" s="33"/>
      <c r="G10" s="34">
        <f>IF(C7=0,0,E7/C7)</f>
        <v>0.05</v>
      </c>
      <c r="H10" s="34"/>
      <c r="I10" s="34"/>
    </row>
    <row r="11" spans="2:14" ht="21.75" customHeight="1" x14ac:dyDescent="0.35">
      <c r="B11" s="3" t="s">
        <v>9</v>
      </c>
      <c r="C11" s="23">
        <v>7.4999999999999997E-2</v>
      </c>
      <c r="E11" s="35" t="s">
        <v>10</v>
      </c>
      <c r="F11" s="35"/>
      <c r="G11" s="35"/>
      <c r="H11" s="35"/>
      <c r="I11" s="35"/>
    </row>
    <row r="12" spans="2:14" ht="14.15" x14ac:dyDescent="0.35">
      <c r="B12" s="3" t="s">
        <v>11</v>
      </c>
      <c r="C12" s="23">
        <v>0.1</v>
      </c>
      <c r="E12" s="2" t="s">
        <v>12</v>
      </c>
      <c r="F12" s="2" t="s">
        <v>13</v>
      </c>
      <c r="G12" s="4" t="s">
        <v>14</v>
      </c>
      <c r="H12" s="4"/>
      <c r="I12" s="2" t="s">
        <v>15</v>
      </c>
    </row>
    <row r="13" spans="2:14" ht="14.15" x14ac:dyDescent="0.35">
      <c r="B13" s="3" t="s">
        <v>16</v>
      </c>
      <c r="C13" s="23">
        <v>0.3</v>
      </c>
      <c r="E13" s="3" t="s">
        <v>17</v>
      </c>
      <c r="F13" s="5">
        <f>MIN(C7,C8)</f>
        <v>50000</v>
      </c>
      <c r="G13" s="6">
        <f>C10</f>
        <v>0.05</v>
      </c>
      <c r="H13" s="6"/>
      <c r="I13" s="7">
        <f>F13*G13</f>
        <v>2500</v>
      </c>
    </row>
    <row r="14" spans="2:14" ht="14.15" x14ac:dyDescent="0.35">
      <c r="B14" s="3" t="s">
        <v>18</v>
      </c>
      <c r="C14" s="23">
        <v>0.2</v>
      </c>
      <c r="E14" s="3" t="s">
        <v>19</v>
      </c>
      <c r="F14" s="5">
        <f>MAX(MIN(C7,C9)-C8,0)</f>
        <v>0</v>
      </c>
      <c r="G14" s="6">
        <f>C11</f>
        <v>7.4999999999999997E-2</v>
      </c>
      <c r="H14" s="6"/>
      <c r="I14" s="7">
        <f>F14*G14</f>
        <v>0</v>
      </c>
    </row>
    <row r="15" spans="2:14" ht="14.15" x14ac:dyDescent="0.35">
      <c r="B15" s="3" t="s">
        <v>20</v>
      </c>
      <c r="C15" s="23">
        <v>0.5</v>
      </c>
      <c r="E15" s="3" t="s">
        <v>21</v>
      </c>
      <c r="F15" s="5">
        <f>MAX(C7-C9,0)</f>
        <v>0</v>
      </c>
      <c r="G15" s="6">
        <f>C12</f>
        <v>0.1</v>
      </c>
      <c r="H15" s="6"/>
      <c r="I15" s="7">
        <f>F15*G15</f>
        <v>0</v>
      </c>
    </row>
    <row r="16" spans="2:14" ht="14.15" x14ac:dyDescent="0.35">
      <c r="B16" s="3" t="s">
        <v>22</v>
      </c>
      <c r="C16" s="22">
        <v>1000</v>
      </c>
      <c r="E16" s="8" t="s">
        <v>23</v>
      </c>
      <c r="F16" s="36">
        <f>SUM(F13:F15)</f>
        <v>50000</v>
      </c>
      <c r="G16" s="37">
        <f>IF(C7=0,0,I16/C7)</f>
        <v>0.05</v>
      </c>
      <c r="H16" s="37"/>
      <c r="I16" s="36">
        <f>SUM(I13:I15)</f>
        <v>2500</v>
      </c>
    </row>
    <row r="17" spans="2:9" ht="21.75" customHeight="1" x14ac:dyDescent="0.35">
      <c r="B17" s="8" t="s">
        <v>24</v>
      </c>
      <c r="C17" s="10">
        <f>C13+C14+C15</f>
        <v>1</v>
      </c>
      <c r="E17" s="35" t="s">
        <v>25</v>
      </c>
      <c r="F17" s="35"/>
      <c r="G17" s="35"/>
      <c r="H17" s="35"/>
      <c r="I17" s="35"/>
    </row>
    <row r="18" spans="2:9" x14ac:dyDescent="0.4">
      <c r="B18" s="8" t="s">
        <v>26</v>
      </c>
      <c r="C18" s="11" t="str">
        <f>IF(AND(ABS(C17-1)&lt;0.0001, C9&gt;=C8), "✓ valid model", IF(ABS(C17-1)&gt;=0.0001, "✗ milestones must total 100%", "✗ Tier 2 cap must be ≥ Tier 1 cap"))</f>
        <v>✓ valid model</v>
      </c>
      <c r="E18" s="3" t="s">
        <v>27</v>
      </c>
      <c r="F18" s="6">
        <f>C13</f>
        <v>0.3</v>
      </c>
      <c r="G18" s="6"/>
      <c r="H18" s="12">
        <f>$E$7*C13</f>
        <v>750</v>
      </c>
      <c r="I18" s="12"/>
    </row>
    <row r="19" spans="2:9" x14ac:dyDescent="0.4">
      <c r="E19" s="3" t="s">
        <v>28</v>
      </c>
      <c r="F19" s="6">
        <f>C14</f>
        <v>0.2</v>
      </c>
      <c r="G19" s="6"/>
      <c r="H19" s="12">
        <f>$E$7*C14</f>
        <v>500</v>
      </c>
      <c r="I19" s="12"/>
    </row>
    <row r="20" spans="2:9" x14ac:dyDescent="0.4">
      <c r="E20" s="3" t="s">
        <v>29</v>
      </c>
      <c r="F20" s="6">
        <f>C15</f>
        <v>0.5</v>
      </c>
      <c r="G20" s="6"/>
      <c r="H20" s="12">
        <f>$E$7*C15</f>
        <v>1250</v>
      </c>
      <c r="I20" s="12"/>
    </row>
    <row r="21" spans="2:9" x14ac:dyDescent="0.4">
      <c r="E21" s="8" t="s">
        <v>30</v>
      </c>
      <c r="F21" s="13">
        <f>SUM(F18:G20)</f>
        <v>1</v>
      </c>
      <c r="G21" s="13"/>
      <c r="H21" s="14">
        <f>SUM(H18:I20)</f>
        <v>2500</v>
      </c>
      <c r="I21" s="14"/>
    </row>
    <row r="22" spans="2:9" ht="7.5" customHeight="1" x14ac:dyDescent="0.4"/>
    <row r="23" spans="2:9" ht="21.75" customHeight="1" x14ac:dyDescent="0.35">
      <c r="B23" s="29" t="s">
        <v>31</v>
      </c>
      <c r="C23" s="29"/>
      <c r="D23" s="29"/>
      <c r="E23" s="29"/>
      <c r="F23" s="29"/>
      <c r="G23" s="29"/>
      <c r="H23" s="29"/>
      <c r="I23" s="29"/>
    </row>
    <row r="24" spans="2:9" x14ac:dyDescent="0.4">
      <c r="B24" s="3" t="s">
        <v>32</v>
      </c>
      <c r="C24" s="15">
        <f>C16*12</f>
        <v>12000</v>
      </c>
      <c r="E24" s="3" t="s">
        <v>33</v>
      </c>
      <c r="F24" s="16">
        <f>E7</f>
        <v>2500</v>
      </c>
      <c r="G24" s="16"/>
      <c r="H24" s="3" t="s">
        <v>34</v>
      </c>
      <c r="I24" s="9">
        <f>C24+F24</f>
        <v>14500</v>
      </c>
    </row>
    <row r="26" spans="2:9" ht="7.5" customHeight="1" x14ac:dyDescent="0.4"/>
    <row r="27" spans="2:9" ht="21.75" customHeight="1" x14ac:dyDescent="0.35">
      <c r="B27" s="29" t="s">
        <v>35</v>
      </c>
      <c r="C27" s="29"/>
      <c r="D27" s="29"/>
      <c r="E27" s="29"/>
      <c r="F27" s="29"/>
      <c r="G27" s="29"/>
      <c r="H27" s="29"/>
      <c r="I27" s="29"/>
    </row>
    <row r="28" spans="2:9" ht="27.75" customHeight="1" x14ac:dyDescent="0.35">
      <c r="B28" s="38" t="s">
        <v>36</v>
      </c>
      <c r="C28" s="38" t="s">
        <v>37</v>
      </c>
      <c r="D28" s="38" t="s">
        <v>38</v>
      </c>
      <c r="E28" s="38" t="s">
        <v>39</v>
      </c>
      <c r="F28" s="38" t="s">
        <v>40</v>
      </c>
      <c r="G28" s="38" t="s">
        <v>41</v>
      </c>
      <c r="H28" s="38" t="s">
        <v>42</v>
      </c>
      <c r="I28" s="38" t="s">
        <v>43</v>
      </c>
    </row>
    <row r="29" spans="2:9" ht="14.15" x14ac:dyDescent="0.35">
      <c r="B29" s="22">
        <v>25000</v>
      </c>
      <c r="C29" s="5">
        <f t="shared" ref="C29:C38" si="0">MIN(B29,$C$8)*$C$10</f>
        <v>1250</v>
      </c>
      <c r="D29" s="5">
        <f t="shared" ref="D29:D38" si="1">MAX(MIN(B29,$C$9)-$C$8,0)*$C$11</f>
        <v>0</v>
      </c>
      <c r="E29" s="5">
        <f t="shared" ref="E29:E38" si="2">MAX(B29-$C$9,0)*$C$12</f>
        <v>0</v>
      </c>
      <c r="F29" s="24">
        <f t="shared" ref="F29:F38" si="3">C29+D29+E29</f>
        <v>1250</v>
      </c>
      <c r="G29" s="25">
        <f t="shared" ref="G29:G38" si="4">IF(B29=0,0,F29/B29)</f>
        <v>0.05</v>
      </c>
      <c r="H29" s="17">
        <f t="shared" ref="H29:H38" si="5">$C$16*12</f>
        <v>12000</v>
      </c>
      <c r="I29" s="15">
        <f t="shared" ref="I29:I38" si="6">F29+H29</f>
        <v>13250</v>
      </c>
    </row>
    <row r="30" spans="2:9" ht="14.15" x14ac:dyDescent="0.35">
      <c r="B30" s="22">
        <v>50000</v>
      </c>
      <c r="C30" s="5">
        <f t="shared" si="0"/>
        <v>2500</v>
      </c>
      <c r="D30" s="5">
        <f t="shared" si="1"/>
        <v>0</v>
      </c>
      <c r="E30" s="5">
        <f t="shared" si="2"/>
        <v>0</v>
      </c>
      <c r="F30" s="24">
        <f t="shared" si="3"/>
        <v>2500</v>
      </c>
      <c r="G30" s="25">
        <f t="shared" si="4"/>
        <v>0.05</v>
      </c>
      <c r="H30" s="17">
        <f t="shared" si="5"/>
        <v>12000</v>
      </c>
      <c r="I30" s="15">
        <f t="shared" si="6"/>
        <v>14500</v>
      </c>
    </row>
    <row r="31" spans="2:9" ht="14.15" x14ac:dyDescent="0.35">
      <c r="B31" s="22">
        <v>75000</v>
      </c>
      <c r="C31" s="5">
        <f t="shared" si="0"/>
        <v>3750</v>
      </c>
      <c r="D31" s="5">
        <f t="shared" si="1"/>
        <v>0</v>
      </c>
      <c r="E31" s="5">
        <f t="shared" si="2"/>
        <v>0</v>
      </c>
      <c r="F31" s="24">
        <f t="shared" si="3"/>
        <v>3750</v>
      </c>
      <c r="G31" s="25">
        <f t="shared" si="4"/>
        <v>0.05</v>
      </c>
      <c r="H31" s="17">
        <f t="shared" si="5"/>
        <v>12000</v>
      </c>
      <c r="I31" s="15">
        <f t="shared" si="6"/>
        <v>15750</v>
      </c>
    </row>
    <row r="32" spans="2:9" ht="14.15" x14ac:dyDescent="0.35">
      <c r="B32" s="22">
        <v>100000</v>
      </c>
      <c r="C32" s="5">
        <f t="shared" si="0"/>
        <v>5000</v>
      </c>
      <c r="D32" s="5">
        <f t="shared" si="1"/>
        <v>0</v>
      </c>
      <c r="E32" s="5">
        <f t="shared" si="2"/>
        <v>0</v>
      </c>
      <c r="F32" s="24">
        <f t="shared" si="3"/>
        <v>5000</v>
      </c>
      <c r="G32" s="25">
        <f t="shared" si="4"/>
        <v>0.05</v>
      </c>
      <c r="H32" s="17">
        <f t="shared" si="5"/>
        <v>12000</v>
      </c>
      <c r="I32" s="15">
        <f t="shared" si="6"/>
        <v>17000</v>
      </c>
    </row>
    <row r="33" spans="2:14" ht="14.15" x14ac:dyDescent="0.35">
      <c r="B33" s="22">
        <v>150000</v>
      </c>
      <c r="C33" s="5">
        <f t="shared" si="0"/>
        <v>5000</v>
      </c>
      <c r="D33" s="5">
        <f t="shared" si="1"/>
        <v>3750</v>
      </c>
      <c r="E33" s="5">
        <f t="shared" si="2"/>
        <v>0</v>
      </c>
      <c r="F33" s="24">
        <f t="shared" si="3"/>
        <v>8750</v>
      </c>
      <c r="G33" s="25">
        <f t="shared" si="4"/>
        <v>5.8333333333333334E-2</v>
      </c>
      <c r="H33" s="17">
        <f t="shared" si="5"/>
        <v>12000</v>
      </c>
      <c r="I33" s="15">
        <f t="shared" si="6"/>
        <v>20750</v>
      </c>
    </row>
    <row r="34" spans="2:14" ht="14.15" x14ac:dyDescent="0.35">
      <c r="B34" s="22">
        <v>200000</v>
      </c>
      <c r="C34" s="5">
        <f t="shared" si="0"/>
        <v>5000</v>
      </c>
      <c r="D34" s="5">
        <f t="shared" si="1"/>
        <v>7500</v>
      </c>
      <c r="E34" s="5">
        <f t="shared" si="2"/>
        <v>0</v>
      </c>
      <c r="F34" s="24">
        <f t="shared" si="3"/>
        <v>12500</v>
      </c>
      <c r="G34" s="25">
        <f t="shared" si="4"/>
        <v>6.25E-2</v>
      </c>
      <c r="H34" s="17">
        <f t="shared" si="5"/>
        <v>12000</v>
      </c>
      <c r="I34" s="15">
        <f t="shared" si="6"/>
        <v>24500</v>
      </c>
    </row>
    <row r="35" spans="2:14" ht="14.15" x14ac:dyDescent="0.35">
      <c r="B35" s="22">
        <v>250000</v>
      </c>
      <c r="C35" s="5">
        <f t="shared" si="0"/>
        <v>5000</v>
      </c>
      <c r="D35" s="5">
        <f t="shared" si="1"/>
        <v>11250</v>
      </c>
      <c r="E35" s="5">
        <f t="shared" si="2"/>
        <v>0</v>
      </c>
      <c r="F35" s="24">
        <f t="shared" si="3"/>
        <v>16250</v>
      </c>
      <c r="G35" s="25">
        <f t="shared" si="4"/>
        <v>6.5000000000000002E-2</v>
      </c>
      <c r="H35" s="17">
        <f t="shared" si="5"/>
        <v>12000</v>
      </c>
      <c r="I35" s="15">
        <f t="shared" si="6"/>
        <v>28250</v>
      </c>
    </row>
    <row r="36" spans="2:14" ht="14.15" x14ac:dyDescent="0.35">
      <c r="B36" s="22">
        <v>350000</v>
      </c>
      <c r="C36" s="5">
        <f t="shared" si="0"/>
        <v>5000</v>
      </c>
      <c r="D36" s="5">
        <f t="shared" si="1"/>
        <v>11250</v>
      </c>
      <c r="E36" s="5">
        <f t="shared" si="2"/>
        <v>10000</v>
      </c>
      <c r="F36" s="24">
        <f t="shared" si="3"/>
        <v>26250</v>
      </c>
      <c r="G36" s="25">
        <f t="shared" si="4"/>
        <v>7.4999999999999997E-2</v>
      </c>
      <c r="H36" s="17">
        <f t="shared" si="5"/>
        <v>12000</v>
      </c>
      <c r="I36" s="15">
        <f t="shared" si="6"/>
        <v>38250</v>
      </c>
    </row>
    <row r="37" spans="2:14" ht="14.15" x14ac:dyDescent="0.35">
      <c r="B37" s="22">
        <v>500000</v>
      </c>
      <c r="C37" s="5">
        <f t="shared" si="0"/>
        <v>5000</v>
      </c>
      <c r="D37" s="5">
        <f t="shared" si="1"/>
        <v>11250</v>
      </c>
      <c r="E37" s="5">
        <f t="shared" si="2"/>
        <v>25000</v>
      </c>
      <c r="F37" s="24">
        <f t="shared" si="3"/>
        <v>41250</v>
      </c>
      <c r="G37" s="25">
        <f t="shared" si="4"/>
        <v>8.2500000000000004E-2</v>
      </c>
      <c r="H37" s="17">
        <f t="shared" si="5"/>
        <v>12000</v>
      </c>
      <c r="I37" s="15">
        <f t="shared" si="6"/>
        <v>53250</v>
      </c>
    </row>
    <row r="38" spans="2:14" ht="14.15" x14ac:dyDescent="0.35">
      <c r="B38" s="22">
        <v>750000</v>
      </c>
      <c r="C38" s="5">
        <f t="shared" si="0"/>
        <v>5000</v>
      </c>
      <c r="D38" s="5">
        <f t="shared" si="1"/>
        <v>11250</v>
      </c>
      <c r="E38" s="5">
        <f t="shared" si="2"/>
        <v>50000</v>
      </c>
      <c r="F38" s="24">
        <f t="shared" si="3"/>
        <v>66250</v>
      </c>
      <c r="G38" s="25">
        <f t="shared" si="4"/>
        <v>8.8333333333333333E-2</v>
      </c>
      <c r="H38" s="17">
        <f t="shared" si="5"/>
        <v>12000</v>
      </c>
      <c r="I38" s="15">
        <f t="shared" si="6"/>
        <v>78250</v>
      </c>
    </row>
    <row r="41" spans="2:14" ht="21.75" customHeight="1" x14ac:dyDescent="0.35">
      <c r="B41" s="29" t="s">
        <v>44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2:14" ht="18" customHeight="1" x14ac:dyDescent="0.4">
      <c r="B42" s="18" t="s">
        <v>45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8" customHeight="1" x14ac:dyDescent="0.4">
      <c r="B43" s="18" t="s">
        <v>46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2:14" ht="18" customHeight="1" x14ac:dyDescent="0.4">
      <c r="B44" s="18" t="s">
        <v>47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2:14" ht="18" customHeight="1" x14ac:dyDescent="0.4">
      <c r="B45" s="18" t="s">
        <v>48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2:14" ht="18" customHeight="1" x14ac:dyDescent="0.4">
      <c r="B46" s="18" t="s">
        <v>49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2:14" ht="18" customHeight="1" x14ac:dyDescent="0.4">
      <c r="B47" s="18" t="s">
        <v>50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9" spans="2:14" ht="21.75" customHeight="1" x14ac:dyDescent="0.4">
      <c r="B49" s="19" t="s">
        <v>52</v>
      </c>
      <c r="C49" s="19"/>
      <c r="D49" s="19"/>
      <c r="E49" s="19"/>
      <c r="F49" s="19"/>
      <c r="G49" s="19"/>
      <c r="H49" s="19"/>
      <c r="I49" s="19"/>
      <c r="J49" s="20"/>
      <c r="K49" s="20"/>
      <c r="L49" s="20"/>
      <c r="M49" s="20"/>
      <c r="N49" s="20"/>
    </row>
  </sheetData>
  <mergeCells count="34">
    <mergeCell ref="B46:N46"/>
    <mergeCell ref="B47:N47"/>
    <mergeCell ref="B49:I49"/>
    <mergeCell ref="B41:N41"/>
    <mergeCell ref="B42:N42"/>
    <mergeCell ref="B43:N43"/>
    <mergeCell ref="B44:N44"/>
    <mergeCell ref="B45:N45"/>
    <mergeCell ref="F21:G21"/>
    <mergeCell ref="H21:I21"/>
    <mergeCell ref="B23:I23"/>
    <mergeCell ref="F24:G24"/>
    <mergeCell ref="B27:I27"/>
    <mergeCell ref="F18:G18"/>
    <mergeCell ref="H18:I18"/>
    <mergeCell ref="F19:G19"/>
    <mergeCell ref="H19:I19"/>
    <mergeCell ref="F20:G20"/>
    <mergeCell ref="H20:I20"/>
    <mergeCell ref="G13:H13"/>
    <mergeCell ref="G14:H14"/>
    <mergeCell ref="G15:H15"/>
    <mergeCell ref="G16:H16"/>
    <mergeCell ref="E17:I17"/>
    <mergeCell ref="E7:I9"/>
    <mergeCell ref="E10:F10"/>
    <mergeCell ref="G10:I10"/>
    <mergeCell ref="E11:I11"/>
    <mergeCell ref="G12:H12"/>
    <mergeCell ref="B2:N2"/>
    <mergeCell ref="B3:N3"/>
    <mergeCell ref="B5:C5"/>
    <mergeCell ref="E5:I5"/>
    <mergeCell ref="E6:I6"/>
  </mergeCells>
  <conditionalFormatting sqref="C18">
    <cfRule type="expression" dxfId="3" priority="4">
      <formula>LEFT(C18,1)="✗"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 Commission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Rodriguez Renovales</cp:lastModifiedBy>
  <cp:revision>1</cp:revision>
  <dcterms:created xsi:type="dcterms:W3CDTF">2026-05-01T20:42:33Z</dcterms:created>
  <dcterms:modified xsi:type="dcterms:W3CDTF">2026-05-01T20:56:01Z</dcterms:modified>
  <dc:language>en-US</dc:language>
</cp:coreProperties>
</file>